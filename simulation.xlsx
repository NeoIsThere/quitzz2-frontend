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sa\Documents\projects\quitzz-2-project\quitzz-2\"/>
    </mc:Choice>
  </mc:AlternateContent>
  <xr:revisionPtr revIDLastSave="0" documentId="13_ncr:1_{2CD05C3D-E6DD-47B1-802F-71C648DA117B}" xr6:coauthVersionLast="47" xr6:coauthVersionMax="47" xr10:uidLastSave="{00000000-0000-0000-0000-000000000000}"/>
  <bookViews>
    <workbookView xWindow="0" yWindow="300" windowWidth="25820" windowHeight="15620" xr2:uid="{4AF42DA1-2EE4-4234-B85A-10A27A091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1" i="1"/>
  <c r="BI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J29" i="1"/>
  <c r="BK29" i="1"/>
  <c r="L29" i="1"/>
  <c r="M8" i="1"/>
  <c r="C22" i="1"/>
  <c r="C9" i="1"/>
  <c r="C29" i="1"/>
  <c r="C26" i="1"/>
  <c r="C13" i="1"/>
  <c r="D8" i="1" s="1"/>
  <c r="D9" i="1" s="1"/>
  <c r="D21" i="1" l="1"/>
  <c r="D22" i="1" s="1"/>
  <c r="E8" i="1"/>
  <c r="E9" i="1" s="1"/>
  <c r="D29" i="1" l="1"/>
  <c r="E21" i="1"/>
  <c r="E22" i="1" s="1"/>
  <c r="F21" i="1" l="1"/>
  <c r="F22" i="1" s="1"/>
  <c r="E29" i="1"/>
  <c r="F8" i="1"/>
  <c r="F9" i="1" s="1"/>
  <c r="F29" i="1" l="1"/>
  <c r="G22" i="1"/>
  <c r="G8" i="1"/>
  <c r="G9" i="1" l="1"/>
  <c r="H21" i="1"/>
  <c r="H22" i="1" s="1"/>
  <c r="H8" i="1"/>
  <c r="H9" i="1" s="1"/>
  <c r="H29" i="1" l="1"/>
  <c r="I21" i="1"/>
  <c r="I22" i="1" s="1"/>
  <c r="I8" i="1"/>
  <c r="I9" i="1" s="1"/>
  <c r="I29" i="1" l="1"/>
  <c r="J21" i="1"/>
  <c r="J22" i="1" s="1"/>
  <c r="J8" i="1"/>
  <c r="J9" i="1" s="1"/>
  <c r="J29" i="1" l="1"/>
  <c r="K21" i="1"/>
  <c r="K22" i="1" s="1"/>
  <c r="K8" i="1"/>
  <c r="K9" i="1" s="1"/>
  <c r="K29" i="1" l="1"/>
  <c r="L21" i="1"/>
  <c r="L22" i="1" s="1"/>
  <c r="L8" i="1"/>
  <c r="L9" i="1" l="1"/>
  <c r="M21" i="1"/>
  <c r="M9" i="1"/>
  <c r="M22" i="1" l="1"/>
  <c r="N21" i="1"/>
  <c r="M29" i="1"/>
  <c r="N22" i="1"/>
  <c r="N8" i="1"/>
  <c r="N29" i="1" l="1"/>
  <c r="N9" i="1"/>
  <c r="O21" i="1"/>
  <c r="O22" i="1" s="1"/>
  <c r="O8" i="1"/>
  <c r="O29" i="1" l="1"/>
  <c r="O9" i="1"/>
  <c r="P21" i="1"/>
  <c r="P22" i="1" s="1"/>
  <c r="P8" i="1"/>
  <c r="P29" i="1" l="1"/>
  <c r="P9" i="1"/>
  <c r="Q21" i="1"/>
  <c r="Q22" i="1" s="1"/>
  <c r="Q8" i="1"/>
  <c r="Q29" i="1" l="1"/>
  <c r="Q9" i="1"/>
  <c r="R21" i="1"/>
  <c r="R22" i="1" s="1"/>
  <c r="R8" i="1"/>
  <c r="R29" i="1" l="1"/>
  <c r="R9" i="1"/>
  <c r="S21" i="1"/>
  <c r="S22" i="1" s="1"/>
  <c r="S8" i="1"/>
  <c r="S29" i="1" l="1"/>
  <c r="S9" i="1"/>
  <c r="T21" i="1"/>
  <c r="T22" i="1" s="1"/>
  <c r="T8" i="1"/>
  <c r="T29" i="1" l="1"/>
  <c r="T9" i="1"/>
  <c r="U21" i="1"/>
  <c r="U22" i="1" s="1"/>
  <c r="U8" i="1"/>
  <c r="U29" i="1" l="1"/>
  <c r="U9" i="1"/>
  <c r="V21" i="1"/>
  <c r="V22" i="1" s="1"/>
  <c r="V8" i="1"/>
  <c r="V29" i="1" l="1"/>
  <c r="V9" i="1"/>
  <c r="W21" i="1"/>
  <c r="W22" i="1" s="1"/>
  <c r="W8" i="1"/>
  <c r="W29" i="1" l="1"/>
  <c r="W9" i="1"/>
  <c r="X21" i="1"/>
  <c r="X22" i="1" s="1"/>
  <c r="X8" i="1"/>
  <c r="X29" i="1" l="1"/>
  <c r="X9" i="1"/>
  <c r="Y21" i="1"/>
  <c r="Y22" i="1" s="1"/>
  <c r="Y8" i="1"/>
  <c r="Y29" i="1" l="1"/>
  <c r="Y9" i="1"/>
  <c r="Z21" i="1"/>
  <c r="Z22" i="1" s="1"/>
  <c r="Z8" i="1"/>
  <c r="Z29" i="1" l="1"/>
  <c r="Z9" i="1"/>
  <c r="AA21" i="1"/>
  <c r="AA22" i="1" s="1"/>
  <c r="AA8" i="1"/>
  <c r="AA9" i="1" s="1"/>
  <c r="AB21" i="1" l="1"/>
  <c r="AB22" i="1" s="1"/>
  <c r="AA29" i="1"/>
  <c r="AB8" i="1"/>
  <c r="AB29" i="1" l="1"/>
  <c r="AB9" i="1"/>
  <c r="AC21" i="1"/>
  <c r="AC8" i="1"/>
  <c r="AC22" i="1" l="1"/>
  <c r="AD21" i="1"/>
  <c r="AC29" i="1"/>
  <c r="AC9" i="1"/>
  <c r="AD8" i="1"/>
  <c r="AD9" i="1" s="1"/>
  <c r="AE21" i="1" l="1"/>
  <c r="AD22" i="1"/>
  <c r="AE8" i="1"/>
  <c r="AE9" i="1" s="1"/>
  <c r="AE22" i="1" l="1"/>
  <c r="AF21" i="1"/>
  <c r="AF8" i="1"/>
  <c r="AF9" i="1" s="1"/>
  <c r="AF22" i="1" l="1"/>
  <c r="AG21" i="1"/>
  <c r="AG8" i="1"/>
  <c r="AG9" i="1" s="1"/>
  <c r="AG22" i="1" l="1"/>
  <c r="AH21" i="1"/>
  <c r="AH8" i="1"/>
  <c r="AH9" i="1" s="1"/>
  <c r="AH22" i="1" l="1"/>
  <c r="AI21" i="1"/>
  <c r="AI8" i="1"/>
  <c r="AI9" i="1" s="1"/>
  <c r="AJ21" i="1" l="1"/>
  <c r="AI22" i="1"/>
  <c r="AJ8" i="1"/>
  <c r="AJ9" i="1" s="1"/>
  <c r="AJ22" i="1" l="1"/>
  <c r="AK21" i="1"/>
  <c r="AK8" i="1"/>
  <c r="AK9" i="1" s="1"/>
  <c r="AK22" i="1" l="1"/>
  <c r="AL21" i="1"/>
  <c r="AL8" i="1"/>
  <c r="AL9" i="1" s="1"/>
  <c r="AL22" i="1" l="1"/>
  <c r="AM21" i="1"/>
  <c r="AM8" i="1"/>
  <c r="AM9" i="1" s="1"/>
  <c r="AM22" i="1" l="1"/>
  <c r="AN21" i="1"/>
  <c r="AN8" i="1"/>
  <c r="AN9" i="1" s="1"/>
  <c r="AN22" i="1" l="1"/>
  <c r="AO21" i="1"/>
  <c r="AO8" i="1"/>
  <c r="AO9" i="1" s="1"/>
  <c r="AO22" i="1" l="1"/>
  <c r="AP21" i="1"/>
  <c r="AP8" i="1"/>
  <c r="AP9" i="1" s="1"/>
  <c r="AP22" i="1" l="1"/>
  <c r="AQ21" i="1"/>
  <c r="AQ8" i="1"/>
  <c r="AQ9" i="1" s="1"/>
  <c r="AQ22" i="1" l="1"/>
  <c r="AR21" i="1"/>
  <c r="AR8" i="1"/>
  <c r="AR9" i="1" s="1"/>
  <c r="AR22" i="1" l="1"/>
  <c r="AS21" i="1"/>
  <c r="AS8" i="1"/>
  <c r="AS9" i="1" s="1"/>
  <c r="AS22" i="1" l="1"/>
  <c r="AT21" i="1"/>
  <c r="AT8" i="1"/>
  <c r="AT9" i="1" s="1"/>
  <c r="AT22" i="1" l="1"/>
  <c r="AU21" i="1"/>
  <c r="AU8" i="1"/>
  <c r="AU9" i="1" s="1"/>
  <c r="AU22" i="1" l="1"/>
  <c r="AV21" i="1"/>
  <c r="AV8" i="1"/>
  <c r="AV9" i="1" s="1"/>
  <c r="AV22" i="1" l="1"/>
  <c r="AW21" i="1"/>
  <c r="AW8" i="1"/>
  <c r="AW9" i="1" s="1"/>
  <c r="AW22" i="1" l="1"/>
  <c r="AX21" i="1"/>
  <c r="AX8" i="1"/>
  <c r="AX9" i="1" s="1"/>
  <c r="AX22" i="1" l="1"/>
  <c r="AY21" i="1"/>
  <c r="AY8" i="1"/>
  <c r="AY9" i="1" s="1"/>
  <c r="AY22" i="1" l="1"/>
  <c r="AZ21" i="1"/>
  <c r="AZ8" i="1"/>
  <c r="AZ9" i="1" s="1"/>
  <c r="AZ22" i="1" l="1"/>
  <c r="BA21" i="1"/>
  <c r="BA8" i="1"/>
  <c r="BA9" i="1" s="1"/>
  <c r="BA22" i="1" l="1"/>
  <c r="BB21" i="1"/>
  <c r="BB8" i="1"/>
  <c r="BB9" i="1" s="1"/>
  <c r="BB22" i="1" l="1"/>
  <c r="BC21" i="1"/>
  <c r="BC8" i="1"/>
  <c r="BC9" i="1" s="1"/>
  <c r="BC22" i="1" l="1"/>
  <c r="BD21" i="1"/>
  <c r="BD8" i="1"/>
  <c r="BD9" i="1" s="1"/>
  <c r="BD22" i="1" l="1"/>
  <c r="BE21" i="1"/>
  <c r="BE8" i="1"/>
  <c r="BE9" i="1" s="1"/>
  <c r="BE22" i="1" l="1"/>
  <c r="BF21" i="1"/>
  <c r="BF8" i="1"/>
  <c r="BF9" i="1" s="1"/>
  <c r="BF22" i="1" l="1"/>
  <c r="BG21" i="1"/>
  <c r="BG8" i="1"/>
  <c r="BG9" i="1" s="1"/>
  <c r="BG22" i="1" l="1"/>
  <c r="BH21" i="1"/>
  <c r="BH8" i="1"/>
  <c r="BH9" i="1" s="1"/>
  <c r="BH22" i="1" l="1"/>
  <c r="BI21" i="1"/>
  <c r="BI8" i="1"/>
  <c r="BI9" i="1" s="1"/>
  <c r="BI22" i="1" l="1"/>
  <c r="BJ21" i="1"/>
  <c r="BJ8" i="1"/>
  <c r="BJ9" i="1" s="1"/>
  <c r="BJ22" i="1" l="1"/>
  <c r="BK21" i="1"/>
  <c r="BK22" i="1" s="1"/>
  <c r="BK8" i="1"/>
  <c r="BK9" i="1" s="1"/>
</calcChain>
</file>

<file path=xl/sharedStrings.xml><?xml version="1.0" encoding="utf-8"?>
<sst xmlns="http://schemas.openxmlformats.org/spreadsheetml/2006/main" count="23" uniqueCount="13">
  <si>
    <t>α</t>
  </si>
  <si>
    <t>y(t)</t>
  </si>
  <si>
    <t>x(t)</t>
  </si>
  <si>
    <t>t</t>
  </si>
  <si>
    <t>N</t>
  </si>
  <si>
    <t>Relapses</t>
  </si>
  <si>
    <t>Urges</t>
  </si>
  <si>
    <t>Score</t>
  </si>
  <si>
    <t>Follows his average</t>
  </si>
  <si>
    <t>Relapse</t>
  </si>
  <si>
    <t>Urge</t>
  </si>
  <si>
    <t>OK</t>
  </si>
  <si>
    <t>y(t)x14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</si>
</sst>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5C04-45EC-4C8C-B195-E8687D72DDAB}">
  <dimension ref="B4:BK29"/>
  <sheetViews>
    <sheetView tabSelected="1" topLeftCell="Q3" workbookViewId="0">
      <selection activeCell="AL30" sqref="AL30"/>
    </sheetView>
  </sheetViews>
  <sheetFormatPr defaultRowHeight="14.5" x14ac:dyDescent="0.35"/>
  <sheetData>
    <row r="4" spans="2:63" x14ac:dyDescent="0.35">
      <c r="B4" s="5" t="s">
        <v>5</v>
      </c>
    </row>
    <row r="5" spans="2:63" x14ac:dyDescent="0.35">
      <c r="C5" s="2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 t="s">
        <v>9</v>
      </c>
      <c r="S5" s="3"/>
      <c r="T5" s="3"/>
      <c r="U5" s="3"/>
      <c r="V5" s="3"/>
      <c r="W5" s="3"/>
      <c r="X5" s="3"/>
      <c r="Y5" s="2" t="s">
        <v>8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" t="s">
        <v>11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2:63" x14ac:dyDescent="0.35">
      <c r="B6" s="5" t="s">
        <v>3</v>
      </c>
      <c r="C6">
        <v>0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</row>
    <row r="7" spans="2:63" x14ac:dyDescent="0.35">
      <c r="B7" s="5" t="s">
        <v>2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2:63" x14ac:dyDescent="0.35">
      <c r="B8" s="5" t="s">
        <v>1</v>
      </c>
      <c r="C8">
        <v>0.43</v>
      </c>
      <c r="D8">
        <f t="shared" ref="D8:AI8" si="0">$C$13*D7+(1-$C$13)*C8</f>
        <v>0.37266666666666665</v>
      </c>
      <c r="E8">
        <f t="shared" si="0"/>
        <v>0.45631111111111111</v>
      </c>
      <c r="F8">
        <f t="shared" si="0"/>
        <v>0.39546962962962967</v>
      </c>
      <c r="G8">
        <f t="shared" si="0"/>
        <v>0.3427403456790124</v>
      </c>
      <c r="H8">
        <f t="shared" si="0"/>
        <v>0.29704163292181074</v>
      </c>
      <c r="I8">
        <f t="shared" si="0"/>
        <v>0.39076941519890263</v>
      </c>
      <c r="J8">
        <f t="shared" si="0"/>
        <v>0.47200015983904897</v>
      </c>
      <c r="K8">
        <f t="shared" si="0"/>
        <v>0.40906680519384248</v>
      </c>
      <c r="L8">
        <f t="shared" si="0"/>
        <v>0.48785789783466349</v>
      </c>
      <c r="M8">
        <f t="shared" si="0"/>
        <v>0.42281017812337501</v>
      </c>
      <c r="N8">
        <f t="shared" si="0"/>
        <v>0.49976882104025833</v>
      </c>
      <c r="O8">
        <f t="shared" si="0"/>
        <v>0.43313297823489055</v>
      </c>
      <c r="P8">
        <f t="shared" si="0"/>
        <v>0.3753819144702385</v>
      </c>
      <c r="Q8">
        <f t="shared" si="0"/>
        <v>0.45866432587420669</v>
      </c>
      <c r="R8">
        <f t="shared" si="0"/>
        <v>0.53084241575764579</v>
      </c>
      <c r="S8">
        <f t="shared" si="0"/>
        <v>0.59339676032329303</v>
      </c>
      <c r="T8">
        <f t="shared" si="0"/>
        <v>0.64761052561352062</v>
      </c>
      <c r="U8">
        <f t="shared" si="0"/>
        <v>0.69459578886505124</v>
      </c>
      <c r="V8">
        <f t="shared" si="0"/>
        <v>0.7353163503497111</v>
      </c>
      <c r="W8">
        <f t="shared" si="0"/>
        <v>0.77060750363641628</v>
      </c>
      <c r="X8">
        <f t="shared" si="0"/>
        <v>0.80119316981822741</v>
      </c>
      <c r="Y8">
        <f t="shared" si="0"/>
        <v>0.82770074717579711</v>
      </c>
      <c r="Z8">
        <f t="shared" si="0"/>
        <v>0.85067398088569079</v>
      </c>
      <c r="AA8">
        <f t="shared" si="0"/>
        <v>0.73725078343426542</v>
      </c>
      <c r="AB8">
        <f t="shared" si="0"/>
        <v>0.77228401230969668</v>
      </c>
      <c r="AC8">
        <f t="shared" si="0"/>
        <v>0.66931281066840376</v>
      </c>
      <c r="AD8">
        <f t="shared" si="0"/>
        <v>0.58007110257928329</v>
      </c>
      <c r="AE8">
        <f t="shared" si="0"/>
        <v>0.50272828890204557</v>
      </c>
      <c r="AF8">
        <f t="shared" si="0"/>
        <v>0.56903118371510619</v>
      </c>
      <c r="AG8">
        <f t="shared" si="0"/>
        <v>0.4931603592197587</v>
      </c>
      <c r="AH8">
        <f t="shared" si="0"/>
        <v>0.56073897799045758</v>
      </c>
      <c r="AI8">
        <f t="shared" si="0"/>
        <v>0.48597378092506327</v>
      </c>
      <c r="AJ8">
        <f t="shared" ref="AJ8:BO8" si="1">$C$13*AJ7+(1-$C$13)*AI8</f>
        <v>0.55451061013505487</v>
      </c>
      <c r="AK8">
        <f t="shared" si="1"/>
        <v>0.61390919545038092</v>
      </c>
      <c r="AL8">
        <f t="shared" si="1"/>
        <v>0.53205463605699677</v>
      </c>
      <c r="AM8">
        <f t="shared" si="1"/>
        <v>0.46111401791606388</v>
      </c>
      <c r="AN8">
        <f t="shared" si="1"/>
        <v>0.39963214886058873</v>
      </c>
      <c r="AO8">
        <f t="shared" si="1"/>
        <v>0.34634786234584358</v>
      </c>
      <c r="AP8">
        <f t="shared" si="1"/>
        <v>0.3001681473663978</v>
      </c>
      <c r="AQ8">
        <f t="shared" si="1"/>
        <v>0.26014572771754474</v>
      </c>
      <c r="AR8">
        <f t="shared" si="1"/>
        <v>0.22545963068853878</v>
      </c>
      <c r="AS8">
        <f t="shared" si="1"/>
        <v>0.19539834659673361</v>
      </c>
      <c r="AT8">
        <f t="shared" si="1"/>
        <v>0.16934523371716914</v>
      </c>
      <c r="AU8">
        <f t="shared" si="1"/>
        <v>0.14676586922154661</v>
      </c>
      <c r="AV8">
        <f t="shared" si="1"/>
        <v>0.12719708665867374</v>
      </c>
      <c r="AW8">
        <f t="shared" si="1"/>
        <v>0.11023747510418391</v>
      </c>
      <c r="AX8">
        <f t="shared" si="1"/>
        <v>9.5539145090292724E-2</v>
      </c>
      <c r="AY8">
        <f t="shared" si="1"/>
        <v>8.2800592411587035E-2</v>
      </c>
      <c r="AZ8">
        <f t="shared" si="1"/>
        <v>7.176051342337543E-2</v>
      </c>
      <c r="BA8">
        <f t="shared" si="1"/>
        <v>6.2192444966925373E-2</v>
      </c>
      <c r="BB8">
        <f t="shared" si="1"/>
        <v>5.3900118971335322E-2</v>
      </c>
      <c r="BC8">
        <f t="shared" si="1"/>
        <v>4.6713436441823949E-2</v>
      </c>
      <c r="BD8">
        <f t="shared" si="1"/>
        <v>4.0484978249580757E-2</v>
      </c>
      <c r="BE8">
        <f t="shared" si="1"/>
        <v>3.508698114963666E-2</v>
      </c>
      <c r="BF8">
        <f t="shared" si="1"/>
        <v>3.0408716996351774E-2</v>
      </c>
      <c r="BG8">
        <f t="shared" si="1"/>
        <v>2.6354221396838205E-2</v>
      </c>
      <c r="BH8">
        <f t="shared" si="1"/>
        <v>2.2840325210593111E-2</v>
      </c>
      <c r="BI8">
        <f t="shared" si="1"/>
        <v>1.9794948515847365E-2</v>
      </c>
      <c r="BJ8">
        <f t="shared" si="1"/>
        <v>1.7155622047067717E-2</v>
      </c>
      <c r="BK8">
        <f t="shared" si="1"/>
        <v>1.4868205774125355E-2</v>
      </c>
    </row>
    <row r="9" spans="2:63" x14ac:dyDescent="0.35">
      <c r="B9" s="5" t="s">
        <v>12</v>
      </c>
      <c r="C9">
        <f>C8*14</f>
        <v>6.02</v>
      </c>
      <c r="D9">
        <f t="shared" ref="D9:BK9" si="2">D8*14</f>
        <v>5.2173333333333334</v>
      </c>
      <c r="E9">
        <f t="shared" si="2"/>
        <v>6.388355555555556</v>
      </c>
      <c r="F9">
        <f t="shared" si="2"/>
        <v>5.5365748148148155</v>
      </c>
      <c r="G9">
        <f t="shared" si="2"/>
        <v>4.7983648395061733</v>
      </c>
      <c r="H9">
        <f t="shared" si="2"/>
        <v>4.1585828609053506</v>
      </c>
      <c r="I9">
        <f t="shared" si="2"/>
        <v>5.470771812784637</v>
      </c>
      <c r="J9">
        <f t="shared" si="2"/>
        <v>6.6080022377466854</v>
      </c>
      <c r="K9">
        <f t="shared" si="2"/>
        <v>5.7269352727137948</v>
      </c>
      <c r="L9">
        <f t="shared" si="2"/>
        <v>6.8300105696852889</v>
      </c>
      <c r="M9">
        <f t="shared" si="2"/>
        <v>5.9193424937272505</v>
      </c>
      <c r="N9">
        <f t="shared" si="2"/>
        <v>6.9967634945636163</v>
      </c>
      <c r="O9">
        <f t="shared" si="2"/>
        <v>6.0638616952884679</v>
      </c>
      <c r="P9">
        <f t="shared" si="2"/>
        <v>5.2553468025833388</v>
      </c>
      <c r="Q9">
        <f t="shared" si="2"/>
        <v>6.4213005622388941</v>
      </c>
      <c r="R9">
        <f t="shared" si="2"/>
        <v>7.4317938206070409</v>
      </c>
      <c r="S9">
        <f t="shared" si="2"/>
        <v>8.3075546445261033</v>
      </c>
      <c r="T9">
        <f t="shared" si="2"/>
        <v>9.066547358589288</v>
      </c>
      <c r="U9">
        <f t="shared" si="2"/>
        <v>9.7243410441107176</v>
      </c>
      <c r="V9">
        <f t="shared" si="2"/>
        <v>10.294428904895955</v>
      </c>
      <c r="W9">
        <f t="shared" si="2"/>
        <v>10.788505050909828</v>
      </c>
      <c r="X9">
        <f t="shared" si="2"/>
        <v>11.216704377455184</v>
      </c>
      <c r="Y9">
        <f t="shared" si="2"/>
        <v>11.58781046046116</v>
      </c>
      <c r="Z9">
        <f t="shared" si="2"/>
        <v>11.909435732399672</v>
      </c>
      <c r="AA9">
        <f t="shared" si="2"/>
        <v>10.321510968079716</v>
      </c>
      <c r="AB9">
        <f t="shared" si="2"/>
        <v>10.811976172335754</v>
      </c>
      <c r="AC9">
        <f t="shared" si="2"/>
        <v>9.3703793493576519</v>
      </c>
      <c r="AD9">
        <f t="shared" si="2"/>
        <v>8.1209954361099665</v>
      </c>
      <c r="AE9">
        <f t="shared" si="2"/>
        <v>7.0381960446286378</v>
      </c>
      <c r="AF9">
        <f t="shared" si="2"/>
        <v>7.9664365720114869</v>
      </c>
      <c r="AG9">
        <f t="shared" si="2"/>
        <v>6.9042450290766215</v>
      </c>
      <c r="AH9">
        <f t="shared" si="2"/>
        <v>7.8503456918664059</v>
      </c>
      <c r="AI9">
        <f t="shared" si="2"/>
        <v>6.8036329329508858</v>
      </c>
      <c r="AJ9">
        <f t="shared" si="2"/>
        <v>7.763148541890768</v>
      </c>
      <c r="AK9">
        <f t="shared" si="2"/>
        <v>8.5947287363053331</v>
      </c>
      <c r="AL9">
        <f t="shared" si="2"/>
        <v>7.4487649047979545</v>
      </c>
      <c r="AM9">
        <f t="shared" si="2"/>
        <v>6.4555962508248941</v>
      </c>
      <c r="AN9">
        <f t="shared" si="2"/>
        <v>5.5948500840482422</v>
      </c>
      <c r="AO9">
        <f t="shared" si="2"/>
        <v>4.8488700728418106</v>
      </c>
      <c r="AP9">
        <f t="shared" si="2"/>
        <v>4.2023540631295688</v>
      </c>
      <c r="AQ9">
        <f t="shared" si="2"/>
        <v>3.6420401880456263</v>
      </c>
      <c r="AR9">
        <f t="shared" si="2"/>
        <v>3.1564348296395428</v>
      </c>
      <c r="AS9">
        <f t="shared" si="2"/>
        <v>2.7355768523542707</v>
      </c>
      <c r="AT9">
        <f t="shared" si="2"/>
        <v>2.3708332720403682</v>
      </c>
      <c r="AU9">
        <f t="shared" si="2"/>
        <v>2.0547221691016526</v>
      </c>
      <c r="AV9">
        <f t="shared" si="2"/>
        <v>1.7807592132214323</v>
      </c>
      <c r="AW9">
        <f t="shared" si="2"/>
        <v>1.5433246514585748</v>
      </c>
      <c r="AX9">
        <f t="shared" si="2"/>
        <v>1.3375480312640982</v>
      </c>
      <c r="AY9">
        <f t="shared" si="2"/>
        <v>1.1592082937622186</v>
      </c>
      <c r="AZ9">
        <f t="shared" si="2"/>
        <v>1.004647187927256</v>
      </c>
      <c r="BA9">
        <f t="shared" si="2"/>
        <v>0.87069422953695519</v>
      </c>
      <c r="BB9">
        <f t="shared" si="2"/>
        <v>0.75460166559869446</v>
      </c>
      <c r="BC9">
        <f t="shared" si="2"/>
        <v>0.65398811018553527</v>
      </c>
      <c r="BD9">
        <f t="shared" si="2"/>
        <v>0.56678969549413061</v>
      </c>
      <c r="BE9">
        <f t="shared" si="2"/>
        <v>0.49121773609491326</v>
      </c>
      <c r="BF9">
        <f t="shared" si="2"/>
        <v>0.42572203794892483</v>
      </c>
      <c r="BG9">
        <f t="shared" si="2"/>
        <v>0.36895909955573486</v>
      </c>
      <c r="BH9">
        <f t="shared" si="2"/>
        <v>0.31976455294830353</v>
      </c>
      <c r="BI9">
        <f t="shared" si="2"/>
        <v>0.27712927922186309</v>
      </c>
      <c r="BJ9">
        <f t="shared" si="2"/>
        <v>0.24017870865894803</v>
      </c>
      <c r="BK9">
        <f t="shared" si="2"/>
        <v>0.20815488083775496</v>
      </c>
    </row>
    <row r="12" spans="2:63" x14ac:dyDescent="0.35">
      <c r="B12" s="5" t="s">
        <v>4</v>
      </c>
      <c r="C12">
        <v>14</v>
      </c>
    </row>
    <row r="13" spans="2:63" x14ac:dyDescent="0.35">
      <c r="B13" s="5" t="s">
        <v>0</v>
      </c>
      <c r="C13">
        <f>2/(C12+1)</f>
        <v>0.13333333333333333</v>
      </c>
    </row>
    <row r="17" spans="2:63" x14ac:dyDescent="0.35">
      <c r="B17" s="5" t="s">
        <v>6</v>
      </c>
    </row>
    <row r="18" spans="2:63" x14ac:dyDescent="0.35">
      <c r="C18" s="2" t="s">
        <v>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 t="s">
        <v>10</v>
      </c>
      <c r="S18" s="3"/>
      <c r="T18" s="3"/>
      <c r="U18" s="3"/>
      <c r="V18" s="3"/>
      <c r="W18" s="3"/>
      <c r="X18" s="3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3" t="s">
        <v>10</v>
      </c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1" t="s">
        <v>11</v>
      </c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2:63" x14ac:dyDescent="0.35">
      <c r="B19" s="5" t="s">
        <v>3</v>
      </c>
      <c r="C19">
        <v>0</v>
      </c>
      <c r="D19">
        <v>1</v>
      </c>
      <c r="E19">
        <v>2</v>
      </c>
      <c r="F19">
        <v>3</v>
      </c>
      <c r="G19">
        <v>4</v>
      </c>
      <c r="H19">
        <v>5</v>
      </c>
      <c r="I19">
        <v>6</v>
      </c>
      <c r="J19">
        <v>7</v>
      </c>
      <c r="K19">
        <v>8</v>
      </c>
      <c r="L19">
        <v>9</v>
      </c>
      <c r="M19">
        <v>10</v>
      </c>
      <c r="N19">
        <v>11</v>
      </c>
      <c r="O19">
        <v>12</v>
      </c>
      <c r="P19">
        <v>13</v>
      </c>
      <c r="Q19">
        <v>14</v>
      </c>
      <c r="R19">
        <v>15</v>
      </c>
      <c r="S19">
        <v>16</v>
      </c>
      <c r="T19">
        <v>17</v>
      </c>
      <c r="U19">
        <v>18</v>
      </c>
      <c r="V19">
        <v>19</v>
      </c>
      <c r="W19">
        <v>20</v>
      </c>
      <c r="X19">
        <v>21</v>
      </c>
      <c r="Y19">
        <v>22</v>
      </c>
      <c r="Z19">
        <v>23</v>
      </c>
      <c r="AA19">
        <v>24</v>
      </c>
      <c r="AB19">
        <v>25</v>
      </c>
      <c r="AC19">
        <v>26</v>
      </c>
      <c r="AD19">
        <v>27</v>
      </c>
      <c r="AE19">
        <v>28</v>
      </c>
      <c r="AF19">
        <v>29</v>
      </c>
      <c r="AG19">
        <v>30</v>
      </c>
      <c r="AH19">
        <v>31</v>
      </c>
      <c r="AI19">
        <v>32</v>
      </c>
      <c r="AJ19">
        <v>33</v>
      </c>
      <c r="AK19">
        <v>34</v>
      </c>
      <c r="AL19">
        <v>35</v>
      </c>
      <c r="AM19">
        <v>36</v>
      </c>
      <c r="AN19">
        <v>37</v>
      </c>
      <c r="AO19">
        <v>38</v>
      </c>
      <c r="AP19">
        <v>39</v>
      </c>
      <c r="AQ19">
        <v>40</v>
      </c>
      <c r="AR19">
        <v>41</v>
      </c>
      <c r="AS19">
        <v>42</v>
      </c>
      <c r="AT19">
        <v>43</v>
      </c>
      <c r="AU19">
        <v>44</v>
      </c>
      <c r="AV19">
        <v>45</v>
      </c>
      <c r="AW19">
        <v>46</v>
      </c>
      <c r="AX19">
        <v>47</v>
      </c>
      <c r="AY19">
        <v>48</v>
      </c>
      <c r="AZ19">
        <v>49</v>
      </c>
      <c r="BA19">
        <v>50</v>
      </c>
      <c r="BB19">
        <v>51</v>
      </c>
      <c r="BC19">
        <v>52</v>
      </c>
      <c r="BD19">
        <v>53</v>
      </c>
      <c r="BE19">
        <v>54</v>
      </c>
      <c r="BF19">
        <v>55</v>
      </c>
      <c r="BG19">
        <v>56</v>
      </c>
      <c r="BH19">
        <v>57</v>
      </c>
      <c r="BI19">
        <v>58</v>
      </c>
      <c r="BJ19">
        <v>59</v>
      </c>
      <c r="BK19">
        <v>60</v>
      </c>
    </row>
    <row r="20" spans="2:63" x14ac:dyDescent="0.35">
      <c r="B20" s="5" t="s">
        <v>2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 spans="2:63" x14ac:dyDescent="0.35">
      <c r="B21" s="5" t="s">
        <v>1</v>
      </c>
      <c r="C21">
        <v>0.86</v>
      </c>
      <c r="D21">
        <f t="shared" ref="D21:AC21" si="3">$C$26*D20+(1-$C$26)*C21</f>
        <v>0.74533333333333329</v>
      </c>
      <c r="E21">
        <f t="shared" si="3"/>
        <v>0.77928888888888881</v>
      </c>
      <c r="F21">
        <f t="shared" si="3"/>
        <v>0.67538370370370371</v>
      </c>
      <c r="G21">
        <f>$C$26*G20+(1-$C$26)*F21</f>
        <v>0.5853325432098766</v>
      </c>
      <c r="H21">
        <f t="shared" si="3"/>
        <v>0.50728820411522635</v>
      </c>
      <c r="I21">
        <f t="shared" si="3"/>
        <v>0.57298311023319615</v>
      </c>
      <c r="J21">
        <f t="shared" si="3"/>
        <v>0.62991869553543667</v>
      </c>
      <c r="K21">
        <f t="shared" si="3"/>
        <v>0.54592953613071182</v>
      </c>
      <c r="L21">
        <f t="shared" si="3"/>
        <v>0.60647226464661697</v>
      </c>
      <c r="M21">
        <f t="shared" si="3"/>
        <v>0.52560929602706807</v>
      </c>
      <c r="N21">
        <f t="shared" si="3"/>
        <v>0.58886138989012571</v>
      </c>
      <c r="O21">
        <f t="shared" si="3"/>
        <v>0.51034653790477558</v>
      </c>
      <c r="P21">
        <f t="shared" si="3"/>
        <v>0.4423003328508055</v>
      </c>
      <c r="Q21">
        <f t="shared" si="3"/>
        <v>0.51666028847069811</v>
      </c>
      <c r="R21">
        <f t="shared" si="3"/>
        <v>0.58110558334127171</v>
      </c>
      <c r="S21">
        <f t="shared" si="3"/>
        <v>0.63695817222910212</v>
      </c>
      <c r="T21">
        <f t="shared" si="3"/>
        <v>0.68536374926522181</v>
      </c>
      <c r="U21">
        <f t="shared" si="3"/>
        <v>0.72731524936319225</v>
      </c>
      <c r="V21">
        <f t="shared" si="3"/>
        <v>0.76367321611476657</v>
      </c>
      <c r="W21">
        <f t="shared" si="3"/>
        <v>0.79518345396613099</v>
      </c>
      <c r="X21">
        <f t="shared" si="3"/>
        <v>0.82249232677064688</v>
      </c>
      <c r="Y21">
        <f t="shared" si="3"/>
        <v>0.84616001653456063</v>
      </c>
      <c r="Z21">
        <f t="shared" si="3"/>
        <v>0.86667201432995256</v>
      </c>
      <c r="AA21">
        <f t="shared" si="3"/>
        <v>0.75111574575262552</v>
      </c>
      <c r="AB21">
        <f t="shared" si="3"/>
        <v>0.78430031298560876</v>
      </c>
      <c r="AC21">
        <f t="shared" si="3"/>
        <v>0.67972693792086092</v>
      </c>
      <c r="AD21">
        <f t="shared" ref="AD21:AI21" si="4">$C$26*AD20+(1-$C$26)*AC21</f>
        <v>0.58909667953141287</v>
      </c>
      <c r="AE21">
        <f t="shared" si="4"/>
        <v>0.51055045559389112</v>
      </c>
      <c r="AF21">
        <f t="shared" si="4"/>
        <v>0.57581039484803898</v>
      </c>
      <c r="AG21">
        <f t="shared" si="4"/>
        <v>0.49903567553496714</v>
      </c>
      <c r="AH21">
        <f t="shared" si="4"/>
        <v>0.56583091879697156</v>
      </c>
      <c r="AI21">
        <f t="shared" si="4"/>
        <v>0.49038679629070869</v>
      </c>
      <c r="AJ21">
        <f t="shared" ref="AJ21" si="5">$C$26*AJ20+(1-$C$26)*AI21</f>
        <v>0.55833522345194753</v>
      </c>
      <c r="AK21">
        <f t="shared" ref="AK21" si="6">$C$26*AK20+(1-$C$26)*AJ21</f>
        <v>0.61722386032502119</v>
      </c>
      <c r="AL21">
        <f t="shared" ref="AL21" si="7">$C$26*AL20+(1-$C$26)*AK21</f>
        <v>0.53492734561501842</v>
      </c>
      <c r="AM21">
        <f t="shared" ref="AM21:AO21" si="8">$C$26*AM20+(1-$C$26)*AL21</f>
        <v>0.59693703286634936</v>
      </c>
      <c r="AN21">
        <f t="shared" si="8"/>
        <v>0.65067876181750273</v>
      </c>
      <c r="AO21">
        <f t="shared" si="8"/>
        <v>0.69725492690850233</v>
      </c>
      <c r="AP21">
        <f t="shared" ref="AP21" si="9">$C$26*AP20+(1-$C$26)*AO21</f>
        <v>0.73762093665403539</v>
      </c>
      <c r="AQ21">
        <f t="shared" ref="AQ21" si="10">$C$26*AQ20+(1-$C$26)*AP21</f>
        <v>0.77260481176683071</v>
      </c>
      <c r="AR21">
        <f t="shared" ref="AR21" si="11">$C$26*AR20+(1-$C$26)*AQ21</f>
        <v>0.80292417019791995</v>
      </c>
      <c r="AS21">
        <f t="shared" ref="AS21:AU21" si="12">$C$26*AS20+(1-$C$26)*AR21</f>
        <v>0.82920094750486395</v>
      </c>
      <c r="AT21">
        <f t="shared" si="12"/>
        <v>0.85197415450421543</v>
      </c>
      <c r="AU21">
        <f t="shared" si="12"/>
        <v>0.8717109339036534</v>
      </c>
      <c r="AV21">
        <f t="shared" ref="AV21" si="13">$C$26*AV20+(1-$C$26)*AU21</f>
        <v>0.88881614271649956</v>
      </c>
      <c r="AW21">
        <f t="shared" ref="AW21" si="14">$C$26*AW20+(1-$C$26)*AV21</f>
        <v>0.9036406570209663</v>
      </c>
      <c r="AX21">
        <f t="shared" ref="AX21" si="15">$C$26*AX20+(1-$C$26)*AW21</f>
        <v>0.91648856941817081</v>
      </c>
      <c r="AY21">
        <f t="shared" ref="AY21:BA21" si="16">$C$26*AY20+(1-$C$26)*AX21</f>
        <v>0.92762342682908139</v>
      </c>
      <c r="AZ21">
        <f t="shared" si="16"/>
        <v>0.93727363658520391</v>
      </c>
      <c r="BA21">
        <f t="shared" si="16"/>
        <v>0.81230381837384347</v>
      </c>
      <c r="BB21">
        <f t="shared" ref="BB21" si="17">$C$26*BB20+(1-$C$26)*BA21</f>
        <v>0.70399664259066441</v>
      </c>
      <c r="BC21">
        <f t="shared" ref="BC21" si="18">$C$26*BC20+(1-$C$26)*BB21</f>
        <v>0.61013042357857583</v>
      </c>
      <c r="BD21">
        <f t="shared" ref="BD21" si="19">$C$26*BD20+(1-$C$26)*BC21</f>
        <v>0.52877970043476574</v>
      </c>
      <c r="BE21">
        <f t="shared" ref="BE21:BG21" si="20">$C$26*BE20+(1-$C$26)*BD21</f>
        <v>0.45827574037679697</v>
      </c>
      <c r="BF21">
        <f t="shared" si="20"/>
        <v>0.39717230832655737</v>
      </c>
      <c r="BG21">
        <f t="shared" si="20"/>
        <v>0.34421600054968304</v>
      </c>
      <c r="BH21">
        <f t="shared" ref="BH21" si="21">$C$26*BH20+(1-$C$26)*BG21</f>
        <v>0.29832053380972534</v>
      </c>
      <c r="BI21">
        <f t="shared" ref="BI21" si="22">$C$26*BI20+(1-$C$26)*BH21</f>
        <v>0.25854446263509528</v>
      </c>
      <c r="BJ21">
        <f t="shared" ref="BJ21" si="23">$C$26*BJ20+(1-$C$26)*BI21</f>
        <v>0.22407186761708259</v>
      </c>
      <c r="BK21">
        <f>$C$26*BK20+(1-$C$26)*BJ21</f>
        <v>0.19419561860147158</v>
      </c>
    </row>
    <row r="22" spans="2:63" x14ac:dyDescent="0.35">
      <c r="B22" s="5" t="s">
        <v>12</v>
      </c>
      <c r="C22">
        <f>C21*14</f>
        <v>12.04</v>
      </c>
      <c r="D22">
        <f t="shared" ref="D22:BK22" si="24">D21*14</f>
        <v>10.434666666666667</v>
      </c>
      <c r="E22">
        <f t="shared" si="24"/>
        <v>10.910044444444443</v>
      </c>
      <c r="F22">
        <f t="shared" si="24"/>
        <v>9.4553718518518526</v>
      </c>
      <c r="G22">
        <f t="shared" si="24"/>
        <v>8.1946556049382728</v>
      </c>
      <c r="H22">
        <f t="shared" si="24"/>
        <v>7.1020348576131687</v>
      </c>
      <c r="I22">
        <f t="shared" si="24"/>
        <v>8.0217635432647469</v>
      </c>
      <c r="J22">
        <f t="shared" si="24"/>
        <v>8.818861737496114</v>
      </c>
      <c r="K22">
        <f t="shared" si="24"/>
        <v>7.6430135058299653</v>
      </c>
      <c r="L22">
        <f t="shared" si="24"/>
        <v>8.490611705052638</v>
      </c>
      <c r="M22">
        <f t="shared" si="24"/>
        <v>7.3585301443789533</v>
      </c>
      <c r="N22">
        <f t="shared" si="24"/>
        <v>8.2440594584617592</v>
      </c>
      <c r="O22">
        <f t="shared" si="24"/>
        <v>7.1448515306668581</v>
      </c>
      <c r="P22">
        <f t="shared" si="24"/>
        <v>6.192204659911277</v>
      </c>
      <c r="Q22">
        <f t="shared" si="24"/>
        <v>7.233244038589774</v>
      </c>
      <c r="R22">
        <f t="shared" si="24"/>
        <v>8.1354781667778049</v>
      </c>
      <c r="S22">
        <f t="shared" si="24"/>
        <v>8.9174144112074298</v>
      </c>
      <c r="T22">
        <f t="shared" si="24"/>
        <v>9.5950924897131049</v>
      </c>
      <c r="U22">
        <f t="shared" si="24"/>
        <v>10.182413491084692</v>
      </c>
      <c r="V22">
        <f t="shared" si="24"/>
        <v>10.691425025606732</v>
      </c>
      <c r="W22">
        <f t="shared" si="24"/>
        <v>11.132568355525834</v>
      </c>
      <c r="X22">
        <f t="shared" si="24"/>
        <v>11.514892574789057</v>
      </c>
      <c r="Y22">
        <f t="shared" si="24"/>
        <v>11.846240231483849</v>
      </c>
      <c r="Z22">
        <f t="shared" si="24"/>
        <v>12.133408200619336</v>
      </c>
      <c r="AA22">
        <f t="shared" si="24"/>
        <v>10.515620440536757</v>
      </c>
      <c r="AB22">
        <f t="shared" si="24"/>
        <v>10.980204381798522</v>
      </c>
      <c r="AC22">
        <f t="shared" si="24"/>
        <v>9.5161771308920535</v>
      </c>
      <c r="AD22">
        <f t="shared" si="24"/>
        <v>8.24735351343978</v>
      </c>
      <c r="AE22">
        <f t="shared" si="24"/>
        <v>7.1477063783144761</v>
      </c>
      <c r="AF22">
        <f t="shared" si="24"/>
        <v>8.061345527872545</v>
      </c>
      <c r="AG22">
        <f t="shared" si="24"/>
        <v>6.9864994574895398</v>
      </c>
      <c r="AH22">
        <f t="shared" si="24"/>
        <v>7.9216328631576021</v>
      </c>
      <c r="AI22">
        <f t="shared" si="24"/>
        <v>6.8654151480699213</v>
      </c>
      <c r="AJ22">
        <f t="shared" si="24"/>
        <v>7.8166931283272651</v>
      </c>
      <c r="AK22">
        <f t="shared" si="24"/>
        <v>8.6411340445502969</v>
      </c>
      <c r="AL22">
        <f t="shared" si="24"/>
        <v>7.4889828386102577</v>
      </c>
      <c r="AM22">
        <f t="shared" si="24"/>
        <v>8.3571184601288913</v>
      </c>
      <c r="AN22">
        <f t="shared" si="24"/>
        <v>9.1095026654450386</v>
      </c>
      <c r="AO22">
        <f t="shared" si="24"/>
        <v>9.7615689767190332</v>
      </c>
      <c r="AP22">
        <f t="shared" si="24"/>
        <v>10.326693113156495</v>
      </c>
      <c r="AQ22">
        <f t="shared" si="24"/>
        <v>10.81646736473563</v>
      </c>
      <c r="AR22">
        <f t="shared" si="24"/>
        <v>11.24093838277088</v>
      </c>
      <c r="AS22">
        <f t="shared" si="24"/>
        <v>11.608813265068095</v>
      </c>
      <c r="AT22">
        <f t="shared" si="24"/>
        <v>11.927638163059015</v>
      </c>
      <c r="AU22">
        <f t="shared" si="24"/>
        <v>12.203953074651148</v>
      </c>
      <c r="AV22">
        <f t="shared" si="24"/>
        <v>12.443425998030994</v>
      </c>
      <c r="AW22">
        <f t="shared" si="24"/>
        <v>12.650969198293527</v>
      </c>
      <c r="AX22">
        <f t="shared" si="24"/>
        <v>12.830839971854392</v>
      </c>
      <c r="AY22">
        <f t="shared" si="24"/>
        <v>12.98672797560714</v>
      </c>
      <c r="AZ22">
        <f t="shared" si="24"/>
        <v>13.121830912192856</v>
      </c>
      <c r="BA22">
        <f t="shared" si="24"/>
        <v>11.372253457233809</v>
      </c>
      <c r="BB22">
        <f t="shared" si="24"/>
        <v>9.855952996269302</v>
      </c>
      <c r="BC22">
        <f t="shared" si="24"/>
        <v>8.5418259301000621</v>
      </c>
      <c r="BD22">
        <f t="shared" si="24"/>
        <v>7.4029158060867202</v>
      </c>
      <c r="BE22">
        <f t="shared" si="24"/>
        <v>6.415860365275158</v>
      </c>
      <c r="BF22">
        <f t="shared" si="24"/>
        <v>5.5604123165718029</v>
      </c>
      <c r="BG22">
        <f t="shared" si="24"/>
        <v>4.8190240076955622</v>
      </c>
      <c r="BH22">
        <f t="shared" si="24"/>
        <v>4.176487473336155</v>
      </c>
      <c r="BI22">
        <f t="shared" si="24"/>
        <v>3.6196224768913341</v>
      </c>
      <c r="BJ22">
        <f t="shared" si="24"/>
        <v>3.1370061466391563</v>
      </c>
      <c r="BK22">
        <f t="shared" si="24"/>
        <v>2.7187386604206023</v>
      </c>
    </row>
    <row r="25" spans="2:63" x14ac:dyDescent="0.35">
      <c r="B25" s="5" t="s">
        <v>4</v>
      </c>
      <c r="C25">
        <v>14</v>
      </c>
    </row>
    <row r="26" spans="2:63" x14ac:dyDescent="0.35">
      <c r="B26" s="5" t="s">
        <v>0</v>
      </c>
      <c r="C26">
        <f>2/(C25+1)</f>
        <v>0.13333333333333333</v>
      </c>
    </row>
    <row r="29" spans="2:63" x14ac:dyDescent="0.35">
      <c r="B29" s="5" t="s">
        <v>7</v>
      </c>
      <c r="C29">
        <f>0.7*C8+0.3*C21</f>
        <v>0.55899999999999994</v>
      </c>
      <c r="D29">
        <f t="shared" ref="D29:BK29" si="25">0.7*D8+0.3*D21</f>
        <v>0.4844666666666666</v>
      </c>
      <c r="E29">
        <f t="shared" si="25"/>
        <v>0.55320444444444439</v>
      </c>
      <c r="F29">
        <f t="shared" si="25"/>
        <v>0.4794438518518519</v>
      </c>
      <c r="G29">
        <f>0.7*G8+0.3*G21</f>
        <v>0.41551800493827162</v>
      </c>
      <c r="H29">
        <f t="shared" si="25"/>
        <v>0.36011560427983536</v>
      </c>
      <c r="I29">
        <f t="shared" si="25"/>
        <v>0.44543352370919065</v>
      </c>
      <c r="J29">
        <f t="shared" si="25"/>
        <v>0.51937572054796521</v>
      </c>
      <c r="K29">
        <f t="shared" si="25"/>
        <v>0.45012562447490323</v>
      </c>
      <c r="L29">
        <f>0.7*L8+0.3*L21</f>
        <v>0.52344220787824947</v>
      </c>
      <c r="M29">
        <f t="shared" si="25"/>
        <v>0.45364991349448291</v>
      </c>
      <c r="N29">
        <f t="shared" si="25"/>
        <v>0.52649659169521845</v>
      </c>
      <c r="O29">
        <f t="shared" si="25"/>
        <v>0.45629704613585603</v>
      </c>
      <c r="P29">
        <f t="shared" si="25"/>
        <v>0.39545743998440852</v>
      </c>
      <c r="Q29">
        <f t="shared" si="25"/>
        <v>0.4760631146531541</v>
      </c>
      <c r="R29">
        <f t="shared" si="25"/>
        <v>0.54592136603273356</v>
      </c>
      <c r="S29">
        <f t="shared" si="25"/>
        <v>0.60646518389503568</v>
      </c>
      <c r="T29">
        <f t="shared" si="25"/>
        <v>0.65893649270903087</v>
      </c>
      <c r="U29">
        <f t="shared" si="25"/>
        <v>0.70441162701449356</v>
      </c>
      <c r="V29">
        <f t="shared" si="25"/>
        <v>0.74382341007922781</v>
      </c>
      <c r="W29">
        <f t="shared" si="25"/>
        <v>0.77798028873533065</v>
      </c>
      <c r="X29">
        <f t="shared" si="25"/>
        <v>0.80758291690395323</v>
      </c>
      <c r="Y29">
        <f t="shared" si="25"/>
        <v>0.83323852798342612</v>
      </c>
      <c r="Z29">
        <f t="shared" si="25"/>
        <v>0.85547339091896935</v>
      </c>
      <c r="AA29">
        <f t="shared" si="25"/>
        <v>0.7414102721297734</v>
      </c>
      <c r="AB29">
        <f t="shared" si="25"/>
        <v>0.77588890251247022</v>
      </c>
      <c r="AC29">
        <f t="shared" si="25"/>
        <v>0.67243704884414091</v>
      </c>
      <c r="AD29">
        <f t="shared" si="25"/>
        <v>0.58277877566492209</v>
      </c>
      <c r="AE29">
        <f t="shared" si="25"/>
        <v>0.5050749389095992</v>
      </c>
      <c r="AF29">
        <f t="shared" si="25"/>
        <v>0.57106494705498601</v>
      </c>
      <c r="AG29">
        <f t="shared" si="25"/>
        <v>0.49492295411432119</v>
      </c>
      <c r="AH29">
        <f t="shared" si="25"/>
        <v>0.56226656023241173</v>
      </c>
      <c r="AI29">
        <f t="shared" si="25"/>
        <v>0.48729768553475683</v>
      </c>
      <c r="AJ29">
        <f t="shared" si="25"/>
        <v>0.55565799413012262</v>
      </c>
      <c r="AK29">
        <f t="shared" si="25"/>
        <v>0.61490359491277302</v>
      </c>
      <c r="AL29">
        <f t="shared" si="25"/>
        <v>0.53291644892440326</v>
      </c>
      <c r="AM29">
        <f t="shared" si="25"/>
        <v>0.50186092240114955</v>
      </c>
      <c r="AN29">
        <f t="shared" si="25"/>
        <v>0.4749461327476629</v>
      </c>
      <c r="AO29">
        <f t="shared" si="25"/>
        <v>0.45161998171464118</v>
      </c>
      <c r="AP29">
        <f t="shared" si="25"/>
        <v>0.4314039841526891</v>
      </c>
      <c r="AQ29">
        <f t="shared" si="25"/>
        <v>0.41388345293233053</v>
      </c>
      <c r="AR29">
        <f t="shared" si="25"/>
        <v>0.3986989925413531</v>
      </c>
      <c r="AS29">
        <f t="shared" si="25"/>
        <v>0.38553912686917269</v>
      </c>
      <c r="AT29">
        <f t="shared" si="25"/>
        <v>0.37413390995328299</v>
      </c>
      <c r="AU29">
        <f t="shared" si="25"/>
        <v>0.36424938862617862</v>
      </c>
      <c r="AV29">
        <f t="shared" si="25"/>
        <v>0.35568280347602149</v>
      </c>
      <c r="AW29">
        <f t="shared" si="25"/>
        <v>0.34825842967921861</v>
      </c>
      <c r="AX29">
        <f t="shared" si="25"/>
        <v>0.34182397238865614</v>
      </c>
      <c r="AY29">
        <f t="shared" si="25"/>
        <v>0.33624744273683532</v>
      </c>
      <c r="AZ29">
        <f t="shared" si="25"/>
        <v>0.33141445037192396</v>
      </c>
      <c r="BA29">
        <f t="shared" si="25"/>
        <v>0.28722585698900083</v>
      </c>
      <c r="BB29">
        <f t="shared" si="25"/>
        <v>0.24892907605713405</v>
      </c>
      <c r="BC29">
        <f t="shared" si="25"/>
        <v>0.21573853258284953</v>
      </c>
      <c r="BD29">
        <f t="shared" si="25"/>
        <v>0.18697339490513623</v>
      </c>
      <c r="BE29">
        <f t="shared" si="25"/>
        <v>0.16204360891778474</v>
      </c>
      <c r="BF29">
        <f t="shared" si="25"/>
        <v>0.14043779439541343</v>
      </c>
      <c r="BG29">
        <f t="shared" si="25"/>
        <v>0.12171275514269166</v>
      </c>
      <c r="BH29">
        <f t="shared" si="25"/>
        <v>0.10548438779033278</v>
      </c>
      <c r="BI29">
        <f>0.7*BI8+0.3*BI21</f>
        <v>9.1419802751621732E-2</v>
      </c>
      <c r="BJ29">
        <f t="shared" si="25"/>
        <v>7.9230495718072169E-2</v>
      </c>
      <c r="BK29">
        <f t="shared" si="25"/>
        <v>6.8666429622329217E-2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Lavallée</dc:creator>
  <cp:lastModifiedBy>Sam Lavallée</cp:lastModifiedBy>
  <dcterms:created xsi:type="dcterms:W3CDTF">2026-02-02T19:58:30Z</dcterms:created>
  <dcterms:modified xsi:type="dcterms:W3CDTF">2026-02-05T08:39:29Z</dcterms:modified>
</cp:coreProperties>
</file>